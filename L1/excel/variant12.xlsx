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12" sheetId="1" state="visible" r:id="rId1"/>
  </sheets>
  <definedNames>
    <definedName name="solver_adj" localSheetId="0" hidden="1">'Вариант 12'!$B$4:$E$4</definedName>
    <definedName name="solver_opt" localSheetId="0" hidden="1">'Вариант 12'!$G$5</definedName>
    <definedName name="solver_typ" localSheetId="0" hidden="1">2</definedName>
    <definedName name="solver_val" localSheetId="0" hidden="1">0</definedName>
    <definedName name="solver_eng" localSheetId="0" hidden="1">2</definedName>
    <definedName name="solver_neg" localSheetId="0" hidden="1">1</definedName>
    <definedName name="solver_num" localSheetId="0" hidden="1">3</definedName>
    <definedName name="solver_ver" localSheetId="0" hidden="1">3</definedName>
    <definedName name="solver_lin" localSheetId="0" hidden="1">1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od" localSheetId="0" hidden="1">2147483647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lhs1" localSheetId="0" hidden="1">'Вариант 12'!$F$8</definedName>
    <definedName name="solver_rel1" localSheetId="0" hidden="1">1</definedName>
    <definedName name="solver_rhs1" localSheetId="0" hidden="1">'Вариант 12'!$H$8</definedName>
    <definedName name="solver_lhs2" localSheetId="0" hidden="1">'Вариант 12'!$F$9</definedName>
    <definedName name="solver_rel2" localSheetId="0" hidden="1">2</definedName>
    <definedName name="solver_rhs2" localSheetId="0" hidden="1">'Вариант 12'!$H$9</definedName>
    <definedName name="solver_lhs3" localSheetId="0" hidden="1">'Вариант 12'!$F$10</definedName>
    <definedName name="solver_rel3" localSheetId="0" hidden="1">3</definedName>
    <definedName name="solver_rhs3" localSheetId="0" hidden="1">'Вариант 12'!$H$10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Вариант 12: Z = 2x1 + 3x2 + x3 + 4x4 -&gt; min</t>
        </is>
      </c>
    </row>
    <row r="3">
      <c r="A3" s="2" t="inlineStr"/>
      <c r="B3" s="3" t="inlineStr">
        <is>
          <t>x1</t>
        </is>
      </c>
      <c r="C3" s="3" t="inlineStr">
        <is>
          <t>x2</t>
        </is>
      </c>
      <c r="D3" s="3" t="inlineStr">
        <is>
          <t>x3</t>
        </is>
      </c>
      <c r="E3" s="3" t="inlineStr">
        <is>
          <t>x4</t>
        </is>
      </c>
      <c r="F3" s="2" t="n"/>
      <c r="G3" s="2" t="n"/>
    </row>
    <row r="4">
      <c r="A4" s="2" t="inlineStr">
        <is>
          <t>Значения</t>
        </is>
      </c>
      <c r="B4" s="4" t="n">
        <v>0</v>
      </c>
      <c r="C4" s="4" t="n">
        <v>0</v>
      </c>
      <c r="D4" s="4" t="n">
        <v>0</v>
      </c>
      <c r="E4" s="4" t="n">
        <v>0</v>
      </c>
      <c r="F4" s="2" t="n"/>
      <c r="G4" s="2" t="n"/>
    </row>
    <row r="5">
      <c r="A5" s="2" t="inlineStr">
        <is>
          <t>Коэффициенты Z</t>
        </is>
      </c>
      <c r="B5" s="2" t="n">
        <v>2</v>
      </c>
      <c r="C5" s="2" t="n">
        <v>3</v>
      </c>
      <c r="D5" s="2" t="n">
        <v>1</v>
      </c>
      <c r="E5" s="2" t="n">
        <v>4</v>
      </c>
      <c r="F5" s="5" t="inlineStr">
        <is>
          <t>Z =</t>
        </is>
      </c>
      <c r="G5" s="6">
        <f>SUMPRODUCT(B5:E5,$B$4:$E$4)</f>
        <v/>
      </c>
    </row>
    <row r="7">
      <c r="A7" s="5" t="inlineStr">
        <is>
          <t>Ограничения</t>
        </is>
      </c>
      <c r="B7" s="3" t="inlineStr">
        <is>
          <t>x1</t>
        </is>
      </c>
      <c r="C7" s="3" t="inlineStr">
        <is>
          <t>x2</t>
        </is>
      </c>
      <c r="D7" s="3" t="inlineStr">
        <is>
          <t>x3</t>
        </is>
      </c>
      <c r="E7" s="3" t="inlineStr">
        <is>
          <t>x4</t>
        </is>
      </c>
      <c r="F7" s="3" t="inlineStr">
        <is>
          <t>Левая часть</t>
        </is>
      </c>
      <c r="G7" s="3" t="inlineStr">
        <is>
          <t>Знак</t>
        </is>
      </c>
      <c r="H7" s="3" t="inlineStr">
        <is>
          <t>Правая часть</t>
        </is>
      </c>
    </row>
    <row r="8">
      <c r="A8" s="2" t="inlineStr">
        <is>
          <t>Ограничение 1</t>
        </is>
      </c>
      <c r="B8" s="2" t="n">
        <v>1</v>
      </c>
      <c r="C8" s="2" t="n">
        <v>2</v>
      </c>
      <c r="D8" s="2" t="n">
        <v>1</v>
      </c>
      <c r="E8" s="2" t="n">
        <v>0</v>
      </c>
      <c r="F8" s="2">
        <f>SUMPRODUCT(B8:E8,$B$4:$E$4)</f>
        <v/>
      </c>
      <c r="G8" s="7" t="inlineStr">
        <is>
          <t>&lt;=</t>
        </is>
      </c>
      <c r="H8" s="2" t="n">
        <v>7</v>
      </c>
    </row>
    <row r="9">
      <c r="A9" s="2" t="inlineStr">
        <is>
          <t>Ограничение 2</t>
        </is>
      </c>
      <c r="B9" s="2" t="n">
        <v>0</v>
      </c>
      <c r="C9" s="2" t="n">
        <v>1</v>
      </c>
      <c r="D9" s="2" t="n">
        <v>1</v>
      </c>
      <c r="E9" s="2" t="n">
        <v>1</v>
      </c>
      <c r="F9" s="2">
        <f>SUMPRODUCT(B9:E9,$B$4:$E$4)</f>
        <v/>
      </c>
      <c r="G9" s="7" t="inlineStr">
        <is>
          <t>=</t>
        </is>
      </c>
      <c r="H9" s="2" t="n">
        <v>5</v>
      </c>
    </row>
    <row r="10">
      <c r="A10" s="2" t="inlineStr">
        <is>
          <t>Ограничение 3</t>
        </is>
      </c>
      <c r="B10" s="2" t="n">
        <v>1</v>
      </c>
      <c r="C10" s="2" t="n">
        <v>0</v>
      </c>
      <c r="D10" s="2" t="n">
        <v>0</v>
      </c>
      <c r="E10" s="2" t="n">
        <v>1</v>
      </c>
      <c r="F10" s="2">
        <f>SUMPRODUCT(B10:E10,$B$4:$E$4)</f>
        <v/>
      </c>
      <c r="G10" s="7" t="inlineStr">
        <is>
          <t>&gt;=</t>
        </is>
      </c>
      <c r="H10" s="2" t="n">
        <v>3</v>
      </c>
    </row>
    <row r="12">
      <c r="A12" t="inlineStr">
        <is>
          <t>Жёлтые ячейки B4:E4 изменяет Solver, синяя G5 - целевая.</t>
        </is>
      </c>
    </row>
    <row r="13">
      <c r="A13" t="inlineStr">
        <is>
          <t>Данные -&gt; Поиск решения -&gt; Найти решение (метод: симплекс-метод, переменные неотрицательны).</t>
        </is>
      </c>
    </row>
    <row r="15">
      <c r="A15" s="8" t="inlineStr">
        <is>
          <t>Сравнение с симплекс-таблицами</t>
        </is>
      </c>
    </row>
    <row r="16">
      <c r="A16" s="3" t="n"/>
      <c r="B16" s="3" t="inlineStr">
        <is>
          <t>x1</t>
        </is>
      </c>
      <c r="C16" s="3" t="inlineStr">
        <is>
          <t>x2</t>
        </is>
      </c>
      <c r="D16" s="3" t="inlineStr">
        <is>
          <t>x3</t>
        </is>
      </c>
      <c r="E16" s="3" t="inlineStr">
        <is>
          <t>x4</t>
        </is>
      </c>
      <c r="F16" s="3" t="inlineStr">
        <is>
          <t>Z</t>
        </is>
      </c>
    </row>
    <row r="17">
      <c r="A17" s="2" t="inlineStr">
        <is>
          <t>Solver</t>
        </is>
      </c>
      <c r="B17" s="2">
        <f>B4</f>
        <v/>
      </c>
      <c r="C17" s="2">
        <f>C4</f>
        <v/>
      </c>
      <c r="D17" s="2">
        <f>D4</f>
        <v/>
      </c>
      <c r="E17" s="2">
        <f>E4</f>
        <v/>
      </c>
      <c r="F17" s="2">
        <f>G5</f>
        <v/>
      </c>
    </row>
    <row r="18">
      <c r="A18" s="2" t="inlineStr">
        <is>
          <t>Симплекс-метод</t>
        </is>
      </c>
      <c r="B18" s="2">
        <f>5/2</f>
        <v/>
      </c>
      <c r="C18" s="2">
        <f>0</f>
        <v/>
      </c>
      <c r="D18" s="2">
        <f>9/2</f>
        <v/>
      </c>
      <c r="E18" s="2">
        <f>1/2</f>
        <v/>
      </c>
      <c r="F18" s="2">
        <f>23/2</f>
        <v/>
      </c>
    </row>
    <row r="19">
      <c r="A19" s="2" t="inlineStr">
        <is>
          <t>Разница</t>
        </is>
      </c>
      <c r="B19" s="2">
        <f>ROUND(B17-B18,6)</f>
        <v/>
      </c>
      <c r="C19" s="2">
        <f>ROUND(C17-C18,6)</f>
        <v/>
      </c>
      <c r="D19" s="2">
        <f>ROUND(D17-D18,6)</f>
        <v/>
      </c>
      <c r="E19" s="2">
        <f>ROUND(E17-E18,6)</f>
        <v/>
      </c>
      <c r="F19" s="2">
        <f>ROUND(F17-F18,6)</f>
        <v/>
      </c>
    </row>
    <row r="20">
      <c r="A20" t="inlineStr">
        <is>
          <t>Итог</t>
        </is>
      </c>
      <c r="B20" s="8">
        <f>IF(AND(F19=0,B19=0,C19=0,D19=0,E19=0),"ответы совпадают","ответы не совпадают")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2026-10-06T13:43:09Z</dcterms:created>
  <dcterms:modified xmlns:dcterms="http://purl.org/dc/terms/" xmlns:xsi="http://www.w3.org/2001/XMLSchema-instance" xsi:type="dcterms:W3CDTF">2026-10-06T13:43:09Z</dcterms:modified>
</cp:coreProperties>
</file>